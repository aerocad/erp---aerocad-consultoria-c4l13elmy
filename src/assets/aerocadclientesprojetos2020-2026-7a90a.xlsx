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Clientes" sheetId="2" r:id="rId6"/>
    <sheet state="visible" name="Projetos" sheetId="3" r:id="rId7"/>
    <sheet state="visible" name="Financeiro" sheetId="4" r:id="rId8"/>
    <sheet state="visible" name="Comunicações" sheetId="5" r:id="rId9"/>
    <sheet state="visible" name="Status Geral" sheetId="6" r:id="rId10"/>
  </sheets>
  <definedNames/>
  <calcPr/>
</workbook>
</file>

<file path=xl/sharedStrings.xml><?xml version="1.0" encoding="utf-8"?>
<sst xmlns="http://schemas.openxmlformats.org/spreadsheetml/2006/main" count="547" uniqueCount="333">
  <si>
    <t>ID Cliente</t>
  </si>
  <si>
    <t>ID Lançamento</t>
  </si>
  <si>
    <t>ID Projeto</t>
  </si>
  <si>
    <t>AEROCAD® — Base de Clientes e Projetos (2020-2026)</t>
  </si>
  <si>
    <t>Razão Social / Nome</t>
  </si>
  <si>
    <t>CNPJ / CPF</t>
  </si>
  <si>
    <t>Tipo</t>
  </si>
  <si>
    <t>Cliente (ref.)</t>
  </si>
  <si>
    <t>Segmento</t>
  </si>
  <si>
    <t>Nº PC/PT</t>
  </si>
  <si>
    <t>Município/UF</t>
  </si>
  <si>
    <t>Tipo de serviço</t>
  </si>
  <si>
    <t>Contato principal</t>
  </si>
  <si>
    <t>Cargo</t>
  </si>
  <si>
    <t>Escopo resumido</t>
  </si>
  <si>
    <t>E-mail</t>
  </si>
  <si>
    <t>Município/UF do empreendimento</t>
  </si>
  <si>
    <t>Projeto (ref.)</t>
  </si>
  <si>
    <t>Telefone</t>
  </si>
  <si>
    <t>Aeródromo (ICAO/IATA)</t>
  </si>
  <si>
    <t>Nº da parcela / marco</t>
  </si>
  <si>
    <t>Contato secundário</t>
  </si>
  <si>
    <t>Data da proposta</t>
  </si>
  <si>
    <t>Data de aceite</t>
  </si>
  <si>
    <t>% do contrato</t>
  </si>
  <si>
    <t>Prazo (dias)</t>
  </si>
  <si>
    <t>Primeira contratação</t>
  </si>
  <si>
    <t>Valor (R$)</t>
  </si>
  <si>
    <t>Valor global (R$)</t>
  </si>
  <si>
    <t>Observações</t>
  </si>
  <si>
    <t>Status</t>
  </si>
  <si>
    <t>Evento comprobatório</t>
  </si>
  <si>
    <t>Marco/fase atual</t>
  </si>
  <si>
    <t>Data prevista</t>
  </si>
  <si>
    <t>Próxima entrega</t>
  </si>
  <si>
    <t>Pendente de órgão (DECEA/ANAC)?</t>
  </si>
  <si>
    <t>Data de faturamento</t>
  </si>
  <si>
    <t>C001</t>
  </si>
  <si>
    <t>Nº NFS-e</t>
  </si>
  <si>
    <t>Data de vencimento</t>
  </si>
  <si>
    <t>P001</t>
  </si>
  <si>
    <t>Data de recebimento</t>
  </si>
  <si>
    <t>Status pagamento</t>
  </si>
  <si>
    <t>Zurich Airport Brasil</t>
  </si>
  <si>
    <t>Como esta planilha foi gerada</t>
  </si>
  <si>
    <t>F001</t>
  </si>
  <si>
    <t>P006</t>
  </si>
  <si>
    <t>Zurich — SBFL</t>
  </si>
  <si>
    <t>PT 240 + PC 241/2026</t>
  </si>
  <si>
    <t>Paulo Victor — Registro</t>
  </si>
  <si>
    <t>Viabilidade AGA/ATM + Regulatório + PDIR + Base Cartográfica RPA</t>
  </si>
  <si>
    <t>P1 (mobilização)</t>
  </si>
  <si>
    <t>Ampliação PPD 14/32 com desloc. CAB 32</t>
  </si>
  <si>
    <t>Esta planilha é um TEMPLATE pré-populado com os clientes/projetos identificados em uma sessão de trabalho com o Claude. Os campos em cinza marcados como 'a validar' precisam ser confirmados a partir das fontes abaixo.</t>
  </si>
  <si>
    <t>Florianópolis/SC</t>
  </si>
  <si>
    <t>a validar</t>
  </si>
  <si>
    <t>SBFL/FLN</t>
  </si>
  <si>
    <t>PJ</t>
  </si>
  <si>
    <t>Operador aeroportuário</t>
  </si>
  <si>
    <t>Fontes para completar/validar os dados</t>
  </si>
  <si>
    <t>Florianópolis/SC (SBFL) + Vitória/SBVT + Natal/SBSG + Macaé/SBME</t>
  </si>
  <si>
    <t>Raphael Lerbach</t>
  </si>
  <si>
    <t>1. Caixa de e-mail contato@aerocad.com.br</t>
  </si>
  <si>
    <t>raphael.lerbach@zurichairportbrasil.com</t>
  </si>
  <si>
    <t>Exportar via Google Takeout (Gmail → MBOX) ou conectar o conector Gmail no Claude; buscar por anexos .pdf de NFs, assinaturas eletrônicas, confirmações de aceite de proposta.</t>
  </si>
  <si>
    <t>2. Notas Fiscais emitidas (NFS-e DF)</t>
  </si>
  <si>
    <t>Leonardo Arins — leonardo.vieira@zurichairportbrasil.com</t>
  </si>
  <si>
    <t>Portal NFS-e do GDF (ou do sistema contábil AEROCAD) — exportar relatório anual em XLSX; filtrar por tomador para popular as abas Financeiro e Projetos.</t>
  </si>
  <si>
    <t>Proposta enviada</t>
  </si>
  <si>
    <t>Cliente estratégico — SBFL/SBVT/SBSG/SBME · múltiplos projetos ativos</t>
  </si>
  <si>
    <t>RFQ Rev. nº 0 Set/2026</t>
  </si>
  <si>
    <t>Assinatura do contrato</t>
  </si>
  <si>
    <t>3. Conversas de WhatsApp Business</t>
  </si>
  <si>
    <t>Aguardar deliberação Zurich</t>
  </si>
  <si>
    <t>Sim (B — DECEA/ANAC após protocolo)</t>
  </si>
  <si>
    <t>C002</t>
  </si>
  <si>
    <t>WhatsApp → Configurações → Conversas → Exportar conversa (sem mídia) por contato; importar como texto e usar busca para extrair datas, valores combinados, status.</t>
  </si>
  <si>
    <t>4 módulos A/B/C/D · Módulo D com RPA</t>
  </si>
  <si>
    <t>Alcoa Alumínio S.A.</t>
  </si>
  <si>
    <t>P002</t>
  </si>
  <si>
    <t>4. Documentos deste pacote AEROCAD</t>
  </si>
  <si>
    <t>Zurich — SBVT</t>
  </si>
  <si>
    <t>PC 45.092/2026 rev</t>
  </si>
  <si>
    <t>Mineração / indústria</t>
  </si>
  <si>
    <t>AEROCAD_Pacote_Completo/scripts/ contém geradores de PC já emitidas — cada docx tem CNPJ, valor global, prazo e marcos de pagamento.</t>
  </si>
  <si>
    <t>Alteração Cadastral</t>
  </si>
  <si>
    <t>Juruti/PA</t>
  </si>
  <si>
    <t>Operação regular Airbus A330-300</t>
  </si>
  <si>
    <t>Vitória/ES</t>
  </si>
  <si>
    <t>Opção com Registro em contrato independente</t>
  </si>
  <si>
    <t>SBVT/VIX</t>
  </si>
  <si>
    <t>Estrutura das abas</t>
  </si>
  <si>
    <t>F002</t>
  </si>
  <si>
    <t>Clientes</t>
  </si>
  <si>
    <t>Revisão com reajuste IPCA +7,5%</t>
  </si>
  <si>
    <t>P2</t>
  </si>
  <si>
    <t>1 linha por CLIENTE. CNPJ/CPF, razão social, contato, segmento, município/UF.</t>
  </si>
  <si>
    <t>Protocolo SYSAGA</t>
  </si>
  <si>
    <t>Protocolo COMAER/ANAC</t>
  </si>
  <si>
    <t>Sim (SYSAGA/DECEA)</t>
  </si>
  <si>
    <t>Conformidade regulatória LTs · NFS-e vencimento 60 dias (regra Alcoa)</t>
  </si>
  <si>
    <t>Projetos</t>
  </si>
  <si>
    <t>Revisão da PC 45.092/2025 original; desconto removido</t>
  </si>
  <si>
    <t>P003</t>
  </si>
  <si>
    <t>C003</t>
  </si>
  <si>
    <t>1 linha por PROJETO (um cliente pode ter vários projetos). Vincula ao Cliente via CNPJ/CPF.</t>
  </si>
  <si>
    <t>OCC Construções e Participações</t>
  </si>
  <si>
    <t>PC 45.093/2026</t>
  </si>
  <si>
    <t>Financeiro</t>
  </si>
  <si>
    <t>09.296.159/0001-70</t>
  </si>
  <si>
    <t>Processo OPEA (COMAER)</t>
  </si>
  <si>
    <t>1 linha por PARCELA/NF. Vincula a Projeto via ID Projeto.</t>
  </si>
  <si>
    <t>F003</t>
  </si>
  <si>
    <t>OPEA A330-300 (penetrações PBZPA/PZPANA)</t>
  </si>
  <si>
    <t>Comunicações</t>
  </si>
  <si>
    <t>Construção civil / infraestrutura</t>
  </si>
  <si>
    <t>Log cronológico de contatos (e-mail/WhatsApp/reunião). Vincula a Cliente.</t>
  </si>
  <si>
    <t>P3</t>
  </si>
  <si>
    <t>Maragogi/AL</t>
  </si>
  <si>
    <t>Status Geral</t>
  </si>
  <si>
    <t>José Melo</t>
  </si>
  <si>
    <t>Protocolo SYSAGA/COMAER (medição única 100%)</t>
  </si>
  <si>
    <t>Parecer favorável do órgão</t>
  </si>
  <si>
    <t>Sim</t>
  </si>
  <si>
    <t>Engenheiro Civil</t>
  </si>
  <si>
    <t>Painel-resumo (fórmulas) — total faturado, projetos ativos, atraso médio etc. — preencha após alimentar as outras abas.</t>
  </si>
  <si>
    <t>josemelo@occonstrucoes.com.br</t>
  </si>
  <si>
    <t>Complementar à PC 45.092; medição única</t>
  </si>
  <si>
    <t>+55 32 99911-1265</t>
  </si>
  <si>
    <t>P004</t>
  </si>
  <si>
    <t>Legenda de STATUS do projeto</t>
  </si>
  <si>
    <t>F004</t>
  </si>
  <si>
    <t>Alcoa Juruti</t>
  </si>
  <si>
    <t>PT 230 + PC 231/2026</t>
  </si>
  <si>
    <t>Aeroporto Costa dos Corais · DIFAL AL · não contribuinte ICMS</t>
  </si>
  <si>
    <t>Prospecção</t>
  </si>
  <si>
    <t>Verificação conformidade regulatória LTs</t>
  </si>
  <si>
    <t>Zurich SBVT — OPEA A330</t>
  </si>
  <si>
    <t>LTs cruzando zonas de proteção · relatório final com capítulo autorização × execução</t>
  </si>
  <si>
    <t>Medição única</t>
  </si>
  <si>
    <t>Primeiro contato / proposta sendo elaborada</t>
  </si>
  <si>
    <t>C004</t>
  </si>
  <si>
    <t>Paulo Victor Freitas</t>
  </si>
  <si>
    <t>PC já encaminhada, aguardando aceite</t>
  </si>
  <si>
    <t>026.721.743-93</t>
  </si>
  <si>
    <t>PF</t>
  </si>
  <si>
    <t>Em negociação</t>
  </si>
  <si>
    <t>Possível</t>
  </si>
  <si>
    <t>Em ajustes / contraposta / revisão de valores</t>
  </si>
  <si>
    <t>NFS-e vencimento 60 dias</t>
  </si>
  <si>
    <t>Pessoa Física</t>
  </si>
  <si>
    <t>P005</t>
  </si>
  <si>
    <t>Contratado</t>
  </si>
  <si>
    <t>Cruz/CE</t>
  </si>
  <si>
    <t>OS emitida / contrato assinado / mobilização</t>
  </si>
  <si>
    <t>Interessado</t>
  </si>
  <si>
    <t>Em execução</t>
  </si>
  <si>
    <t>paulo@vicctor.com.br</t>
  </si>
  <si>
    <t>OCC Maragogi</t>
  </si>
  <si>
    <t>Trabalhos em andamento (fase AEROCAD)</t>
  </si>
  <si>
    <t>PC 233/2026</t>
  </si>
  <si>
    <t>5 blocos: Torres CAB33 + PBZPA + Cartas + PANS-OPS + Laudos</t>
  </si>
  <si>
    <t>Em órgão (DECEA/ANAC)</t>
  </si>
  <si>
    <t>Dossiê protocolado, aguardando parecer</t>
  </si>
  <si>
    <t>Aeroporto Costa dos Corais — ampliação CAB 15/33</t>
  </si>
  <si>
    <t>Rua de Setembro, 59, Centro, CEP 62.595-000</t>
  </si>
  <si>
    <t>Concluído</t>
  </si>
  <si>
    <t>C005</t>
  </si>
  <si>
    <t>Parecer favorável + encerramento técnico + Atestado</t>
  </si>
  <si>
    <t>Ricardo Lima</t>
  </si>
  <si>
    <t>Suspenso</t>
  </si>
  <si>
    <t>Pausado por decisão da CONTRATANTE</t>
  </si>
  <si>
    <t>São Paulo/SP</t>
  </si>
  <si>
    <t>DIFAL AL · não contribuinte ICMS</t>
  </si>
  <si>
    <t>Cancelado</t>
  </si>
  <si>
    <t>Sr. Ricardo Lima</t>
  </si>
  <si>
    <t>Rescindido/distrato</t>
  </si>
  <si>
    <t>Paulo Victor</t>
  </si>
  <si>
    <t>+55 11 96460-0194</t>
  </si>
  <si>
    <t>PC 48.120/2026 + Contrato</t>
  </si>
  <si>
    <t>Protocolo SYSAGA/COMAER</t>
  </si>
  <si>
    <t>Estudo Viabilidade + Registro Aeródromo</t>
  </si>
  <si>
    <t>Aeródromo privado uso privativo</t>
  </si>
  <si>
    <t>OPEA — ICA 11-408/2020</t>
  </si>
  <si>
    <t>13/05/2026</t>
  </si>
  <si>
    <t>Medição única 100% no protocolo</t>
  </si>
  <si>
    <t>C006</t>
  </si>
  <si>
    <t>Bruna Rodrigues</t>
  </si>
  <si>
    <t>F005</t>
  </si>
  <si>
    <t>P007</t>
  </si>
  <si>
    <t>Registro (Viabilidade já concluída)</t>
  </si>
  <si>
    <t>Ricardo Lima — OPEA</t>
  </si>
  <si>
    <t>Protocolo COMAER</t>
  </si>
  <si>
    <t>Parcela única (item 01)</t>
  </si>
  <si>
    <t>Cantá/RR</t>
  </si>
  <si>
    <t>Aceite da proposta — Pré-análise</t>
  </si>
  <si>
    <t>EVA já entregue; contrato só do Registro</t>
  </si>
  <si>
    <t>Interessada</t>
  </si>
  <si>
    <t>rodrigues.brunasantos@gmail.com</t>
  </si>
  <si>
    <t>+55 95 98111-8751</t>
  </si>
  <si>
    <t>PC 234/2026</t>
  </si>
  <si>
    <t>Pré-análise</t>
  </si>
  <si>
    <t>Pré-análise OPEA + Processo OPEA (condicional)</t>
  </si>
  <si>
    <t>F006</t>
  </si>
  <si>
    <t>Objeto Projetado no Espaço Aéreo em SP</t>
  </si>
  <si>
    <t>Aeródromo Pouso da Águia · SWPD · CIAD RR0111 · AD PRIV</t>
  </si>
  <si>
    <t>08/09/2026</t>
  </si>
  <si>
    <t>C007</t>
  </si>
  <si>
    <t>P1 (item 02 condicional)</t>
  </si>
  <si>
    <t>Plena Garden in Aeroporto SPE Ltda</t>
  </si>
  <si>
    <t>60.077.675/0001-60</t>
  </si>
  <si>
    <t>Fechamento OPEA (OS item 02)</t>
  </si>
  <si>
    <t>Incorporação imobiliária</t>
  </si>
  <si>
    <t>Item 02 condicional</t>
  </si>
  <si>
    <t>P008</t>
  </si>
  <si>
    <t>Jean Carlos Aparecido de Oliveira</t>
  </si>
  <si>
    <t>Condicional</t>
  </si>
  <si>
    <t>Representante</t>
  </si>
  <si>
    <t>F007</t>
  </si>
  <si>
    <t>Bruna — Cantá/RR</t>
  </si>
  <si>
    <t>PC 233/2026 rev2</t>
  </si>
  <si>
    <t>Viabilidade + Registro + Projeto Executivo ampliação PPD</t>
  </si>
  <si>
    <t>Pouso da Águia · ampliação 750×18 → 1.300×23 · ACFT crítica C408 Sky Courier</t>
  </si>
  <si>
    <t>P2 (item 02 condicional)</t>
  </si>
  <si>
    <t>Rodovia Virgílio Varzea, 587, s. 2, Monte Verde — CEP 88.032-000</t>
  </si>
  <si>
    <t>SWPD/RR0111</t>
  </si>
  <si>
    <t>C008</t>
  </si>
  <si>
    <t>Condomínio CEAMN</t>
  </si>
  <si>
    <t>2 opções de contratação</t>
  </si>
  <si>
    <t>Condomínio corporativo</t>
  </si>
  <si>
    <t>Aguardar escolha opção 1/2</t>
  </si>
  <si>
    <t>F008</t>
  </si>
  <si>
    <t>Projeto Executivo RBAC 154 · PCR dimensionado</t>
  </si>
  <si>
    <t>P009</t>
  </si>
  <si>
    <t>Plena Garden</t>
  </si>
  <si>
    <t>Contrato OPEA (minuta DORIA)</t>
  </si>
  <si>
    <t>OPEA Edifício Plena Garden</t>
  </si>
  <si>
    <t>Edifício no entorno aeroportuário</t>
  </si>
  <si>
    <t>Heliponto SNAW · Relatório Gerencial MENSAL</t>
  </si>
  <si>
    <t>F009</t>
  </si>
  <si>
    <t>SBFL</t>
  </si>
  <si>
    <t>C009</t>
  </si>
  <si>
    <t>21/07/2025</t>
  </si>
  <si>
    <t>AGIPLAN</t>
  </si>
  <si>
    <t>Rep. legal Jean Carlos · PC 45.091/2025</t>
  </si>
  <si>
    <t>P010</t>
  </si>
  <si>
    <t>F010</t>
  </si>
  <si>
    <t>RG CNI mensal</t>
  </si>
  <si>
    <t>Relatório Gerencial Heliponto SNAW (visitas mensais)</t>
  </si>
  <si>
    <t>Heliponto corporativo elevado</t>
  </si>
  <si>
    <t>SNAW</t>
  </si>
  <si>
    <t>mensal</t>
  </si>
  <si>
    <t>contrato continuado</t>
  </si>
  <si>
    <t>RG 08/2026 entregue</t>
  </si>
  <si>
    <t>Engenharia / construção</t>
  </si>
  <si>
    <t>Próxima visita mensal</t>
  </si>
  <si>
    <t>Florianópolis/SC (SBFL)</t>
  </si>
  <si>
    <t>Não</t>
  </si>
  <si>
    <t>Skill aerocad-rg-cni · fotos da visita</t>
  </si>
  <si>
    <t>P011</t>
  </si>
  <si>
    <t>PT + PC AGIPLAN SBFL</t>
  </si>
  <si>
    <t>Projeto Básico Ampliação PPD 14-32 SBFL (650 m)</t>
  </si>
  <si>
    <t>Ampliação de pista SBFL</t>
  </si>
  <si>
    <t>C010</t>
  </si>
  <si>
    <t>Plena Hotels</t>
  </si>
  <si>
    <t>Hotelaria</t>
  </si>
  <si>
    <t>Isadora</t>
  </si>
  <si>
    <t>Histórico do pacote</t>
  </si>
  <si>
    <t>P012</t>
  </si>
  <si>
    <t>Contrato OPEA 221/2026</t>
  </si>
  <si>
    <t>OPEA Isadora</t>
  </si>
  <si>
    <t>C011</t>
  </si>
  <si>
    <t>Aeroclube de PG</t>
  </si>
  <si>
    <t>2026</t>
  </si>
  <si>
    <t>Aeroclube</t>
  </si>
  <si>
    <t>Ponta Grossa/PR (a validar)</t>
  </si>
  <si>
    <t>Contrato gerado</t>
  </si>
  <si>
    <t>P013</t>
  </si>
  <si>
    <t>Aeroclube PG</t>
  </si>
  <si>
    <t>PT + PC Aeroclube PG</t>
  </si>
  <si>
    <t>C012</t>
  </si>
  <si>
    <t>Prefeitura/Projeto Joaçaba</t>
  </si>
  <si>
    <t>Público</t>
  </si>
  <si>
    <t>Joaçaba/SC (a validar)</t>
  </si>
  <si>
    <t>P014</t>
  </si>
  <si>
    <t>Joaçaba</t>
  </si>
  <si>
    <t>Proposta Joaçaba</t>
  </si>
  <si>
    <t>Joaçaba/SC</t>
  </si>
  <si>
    <t>C013</t>
  </si>
  <si>
    <t>Projeto Jeri</t>
  </si>
  <si>
    <t>P015</t>
  </si>
  <si>
    <t>Jericoacoara/CE (a validar)</t>
  </si>
  <si>
    <t>Jeri</t>
  </si>
  <si>
    <t>NT-001/2026</t>
  </si>
  <si>
    <t>Nota Técnica</t>
  </si>
  <si>
    <t>Jericoacoara/CE</t>
  </si>
  <si>
    <t>SBJE</t>
  </si>
  <si>
    <t>Nota Técnica NT-001/2026</t>
  </si>
  <si>
    <t>C014</t>
  </si>
  <si>
    <t>Nota técnica avulsa</t>
  </si>
  <si>
    <t>P016</t>
  </si>
  <si>
    <t>C015</t>
  </si>
  <si>
    <t>P017</t>
  </si>
  <si>
    <t>P018</t>
  </si>
  <si>
    <t>P019</t>
  </si>
  <si>
    <t>P020</t>
  </si>
  <si>
    <t>Data</t>
  </si>
  <si>
    <t>Canal</t>
  </si>
  <si>
    <t>Direção (recebido/enviado)</t>
  </si>
  <si>
    <t>De</t>
  </si>
  <si>
    <t>Para</t>
  </si>
  <si>
    <t>Assunto/tema</t>
  </si>
  <si>
    <t>Resumo</t>
  </si>
  <si>
    <t>Anexos</t>
  </si>
  <si>
    <t>Ação pendente</t>
  </si>
  <si>
    <t>Responsável AEROCAD</t>
  </si>
  <si>
    <t>Painel Resumo — AEROCAD®</t>
  </si>
  <si>
    <t>Indicador</t>
  </si>
  <si>
    <t>Fórmula / Fonte</t>
  </si>
  <si>
    <t>Valor</t>
  </si>
  <si>
    <t>Observação</t>
  </si>
  <si>
    <t>Nº total de clientes</t>
  </si>
  <si>
    <t>ajuste intervalo conforme planilha cresce</t>
  </si>
  <si>
    <t>Nº total de projetos</t>
  </si>
  <si>
    <t>Projetos ATIVOS</t>
  </si>
  <si>
    <t>Projetos CONCLUÍDOS</t>
  </si>
  <si>
    <t>Propostas AGUARDANDO ACEITE</t>
  </si>
  <si>
    <t>Valor total contratado (R$)</t>
  </si>
  <si>
    <t>exclui cancelados</t>
  </si>
  <si>
    <t>Valor total RECEBIDO (R$)</t>
  </si>
  <si>
    <t>Valor total PENDENTE (R$)</t>
  </si>
  <si>
    <t>Legenda de status (ver aba Instruções):</t>
  </si>
  <si>
    <t>Prospecção · Proposta enviada · Em negociação · Contratado · Em execução · Em órgão (DECEA/ANAC) · Concluído · Suspenso · Cancelado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</si>
</sst>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4.0"/>
      <color rgb="FFFF6A13"/>
      <name val="Calibri"/>
    </font>
    <font>
      <sz val="10.0"/>
      <color theme="1"/>
      <name val="Calibri"/>
    </font>
    <font>
      <b/>
      <sz val="10.0"/>
      <color theme="1"/>
      <name val="Calibri"/>
      <scheme val="minor"/>
    </font>
    <font>
      <b/>
      <sz val="10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6A13"/>
        <bgColor rgb="FFFF6A13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3" numFmtId="9" xfId="0" applyAlignment="1" applyBorder="1" applyFont="1" applyNumberFormat="1">
      <alignment horizontal="left"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90.0"/>
    <col customWidth="1" min="3" max="26" width="8.71"/>
  </cols>
  <sheetData>
    <row r="1">
      <c r="A1" s="2" t="s">
        <v>3</v>
      </c>
    </row>
    <row r="2">
      <c r="A2" s="4"/>
      <c r="B2" s="4"/>
    </row>
    <row r="3">
      <c r="A3" s="6" t="s">
        <v>44</v>
      </c>
      <c r="B3" s="4"/>
    </row>
    <row r="4">
      <c r="A4" s="6" t="s">
        <v>53</v>
      </c>
      <c r="B4" s="4"/>
    </row>
    <row r="5">
      <c r="A5" s="4"/>
      <c r="B5" s="4"/>
    </row>
    <row r="6">
      <c r="A6" s="6" t="s">
        <v>59</v>
      </c>
      <c r="B6" s="4"/>
    </row>
    <row r="7">
      <c r="A7" s="4" t="s">
        <v>62</v>
      </c>
      <c r="B7" s="4" t="s">
        <v>64</v>
      </c>
    </row>
    <row r="8">
      <c r="A8" s="4" t="s">
        <v>65</v>
      </c>
      <c r="B8" s="4" t="s">
        <v>67</v>
      </c>
    </row>
    <row r="9">
      <c r="A9" s="4" t="s">
        <v>72</v>
      </c>
      <c r="B9" s="4" t="s">
        <v>76</v>
      </c>
    </row>
    <row r="10">
      <c r="A10" s="4" t="s">
        <v>80</v>
      </c>
      <c r="B10" s="4" t="s">
        <v>84</v>
      </c>
    </row>
    <row r="11">
      <c r="A11" s="4"/>
      <c r="B11" s="4"/>
    </row>
    <row r="12">
      <c r="A12" s="6" t="s">
        <v>91</v>
      </c>
      <c r="B12" s="4"/>
    </row>
    <row r="13">
      <c r="A13" s="4" t="s">
        <v>93</v>
      </c>
      <c r="B13" s="4" t="s">
        <v>96</v>
      </c>
    </row>
    <row r="14">
      <c r="A14" s="4" t="s">
        <v>101</v>
      </c>
      <c r="B14" s="4" t="s">
        <v>105</v>
      </c>
    </row>
    <row r="15">
      <c r="A15" s="4" t="s">
        <v>108</v>
      </c>
      <c r="B15" s="4" t="s">
        <v>111</v>
      </c>
    </row>
    <row r="16">
      <c r="A16" s="4" t="s">
        <v>114</v>
      </c>
      <c r="B16" s="4" t="s">
        <v>116</v>
      </c>
    </row>
    <row r="17">
      <c r="A17" s="4" t="s">
        <v>119</v>
      </c>
      <c r="B17" s="4" t="s">
        <v>125</v>
      </c>
    </row>
    <row r="18">
      <c r="A18" s="4"/>
      <c r="B18" s="4"/>
    </row>
    <row r="19">
      <c r="A19" s="6" t="s">
        <v>130</v>
      </c>
      <c r="B19" s="4"/>
    </row>
    <row r="20">
      <c r="A20" s="4" t="s">
        <v>135</v>
      </c>
      <c r="B20" s="4" t="s">
        <v>140</v>
      </c>
    </row>
    <row r="21" ht="15.75" customHeight="1">
      <c r="A21" s="4" t="s">
        <v>68</v>
      </c>
      <c r="B21" s="4" t="s">
        <v>143</v>
      </c>
    </row>
    <row r="22" ht="15.75" customHeight="1">
      <c r="A22" s="4" t="s">
        <v>146</v>
      </c>
      <c r="B22" s="4" t="s">
        <v>148</v>
      </c>
    </row>
    <row r="23" ht="15.75" customHeight="1">
      <c r="A23" s="4" t="s">
        <v>152</v>
      </c>
      <c r="B23" s="4" t="s">
        <v>154</v>
      </c>
    </row>
    <row r="24" ht="15.75" customHeight="1">
      <c r="A24" s="4" t="s">
        <v>156</v>
      </c>
      <c r="B24" s="4" t="s">
        <v>159</v>
      </c>
    </row>
    <row r="25" ht="15.75" customHeight="1">
      <c r="A25" s="4" t="s">
        <v>162</v>
      </c>
      <c r="B25" s="4" t="s">
        <v>163</v>
      </c>
    </row>
    <row r="26" ht="15.75" customHeight="1">
      <c r="A26" s="4" t="s">
        <v>166</v>
      </c>
      <c r="B26" s="4" t="s">
        <v>168</v>
      </c>
    </row>
    <row r="27" ht="15.75" customHeight="1">
      <c r="A27" s="4" t="s">
        <v>170</v>
      </c>
      <c r="B27" s="4" t="s">
        <v>171</v>
      </c>
    </row>
    <row r="28" ht="15.75" customHeight="1">
      <c r="A28" s="4" t="s">
        <v>174</v>
      </c>
      <c r="B28" s="4" t="s">
        <v>176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20.0"/>
    <col customWidth="1" min="4" max="4" width="6.0"/>
    <col customWidth="1" min="5" max="5" width="24.0"/>
    <col customWidth="1" min="6" max="6" width="32.0"/>
    <col customWidth="1" min="7" max="7" width="24.0"/>
    <col customWidth="1" min="8" max="8" width="20.0"/>
    <col customWidth="1" min="9" max="9" width="36.0"/>
    <col customWidth="1" min="10" max="10" width="20.0"/>
    <col customWidth="1" min="11" max="11" width="36.0"/>
    <col customWidth="1" min="12" max="12" width="14.0"/>
    <col customWidth="1" min="13" max="13" width="50.0"/>
    <col customWidth="1" min="14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18</v>
      </c>
      <c r="K1" s="1" t="s">
        <v>21</v>
      </c>
      <c r="L1" s="1" t="s">
        <v>26</v>
      </c>
      <c r="M1" s="1" t="s">
        <v>29</v>
      </c>
    </row>
    <row r="2">
      <c r="A2" s="3" t="s">
        <v>37</v>
      </c>
      <c r="B2" s="5" t="s">
        <v>43</v>
      </c>
      <c r="C2" s="5" t="s">
        <v>55</v>
      </c>
      <c r="D2" s="5" t="s">
        <v>57</v>
      </c>
      <c r="E2" s="5" t="s">
        <v>58</v>
      </c>
      <c r="F2" s="5" t="s">
        <v>60</v>
      </c>
      <c r="G2" s="5" t="s">
        <v>61</v>
      </c>
      <c r="H2" s="5" t="s">
        <v>55</v>
      </c>
      <c r="I2" s="5" t="s">
        <v>63</v>
      </c>
      <c r="J2" s="5" t="s">
        <v>55</v>
      </c>
      <c r="K2" s="5" t="s">
        <v>66</v>
      </c>
      <c r="L2" s="5" t="s">
        <v>55</v>
      </c>
      <c r="M2" s="5" t="s">
        <v>69</v>
      </c>
    </row>
    <row r="3">
      <c r="A3" s="3" t="s">
        <v>75</v>
      </c>
      <c r="B3" s="5" t="s">
        <v>78</v>
      </c>
      <c r="C3" s="5" t="s">
        <v>55</v>
      </c>
      <c r="D3" s="5" t="s">
        <v>57</v>
      </c>
      <c r="E3" s="5" t="s">
        <v>83</v>
      </c>
      <c r="F3" s="5" t="s">
        <v>86</v>
      </c>
      <c r="G3" s="5" t="s">
        <v>55</v>
      </c>
      <c r="H3" s="5" t="s">
        <v>55</v>
      </c>
      <c r="I3" s="5" t="s">
        <v>55</v>
      </c>
      <c r="J3" s="5" t="s">
        <v>55</v>
      </c>
      <c r="K3" s="5"/>
      <c r="L3" s="5" t="s">
        <v>55</v>
      </c>
      <c r="M3" s="5" t="s">
        <v>100</v>
      </c>
    </row>
    <row r="4">
      <c r="A4" s="3" t="s">
        <v>104</v>
      </c>
      <c r="B4" s="5" t="s">
        <v>106</v>
      </c>
      <c r="C4" s="5" t="s">
        <v>109</v>
      </c>
      <c r="D4" s="5" t="s">
        <v>57</v>
      </c>
      <c r="E4" s="5" t="s">
        <v>115</v>
      </c>
      <c r="F4" s="5" t="s">
        <v>118</v>
      </c>
      <c r="G4" s="5" t="s">
        <v>120</v>
      </c>
      <c r="H4" s="5" t="s">
        <v>124</v>
      </c>
      <c r="I4" s="5" t="s">
        <v>126</v>
      </c>
      <c r="J4" s="5" t="s">
        <v>128</v>
      </c>
      <c r="K4" s="5"/>
      <c r="L4" s="5" t="s">
        <v>55</v>
      </c>
      <c r="M4" s="5" t="s">
        <v>134</v>
      </c>
    </row>
    <row r="5">
      <c r="A5" s="3" t="s">
        <v>141</v>
      </c>
      <c r="B5" s="5" t="s">
        <v>142</v>
      </c>
      <c r="C5" s="5" t="s">
        <v>144</v>
      </c>
      <c r="D5" s="5" t="s">
        <v>145</v>
      </c>
      <c r="E5" s="5" t="s">
        <v>150</v>
      </c>
      <c r="F5" s="5" t="s">
        <v>153</v>
      </c>
      <c r="G5" s="5" t="s">
        <v>142</v>
      </c>
      <c r="H5" s="5" t="s">
        <v>155</v>
      </c>
      <c r="I5" s="5" t="s">
        <v>157</v>
      </c>
      <c r="J5" s="5" t="s">
        <v>55</v>
      </c>
      <c r="K5" s="5"/>
      <c r="L5" s="5" t="s">
        <v>55</v>
      </c>
      <c r="M5" s="5" t="s">
        <v>165</v>
      </c>
    </row>
    <row r="6">
      <c r="A6" s="3" t="s">
        <v>167</v>
      </c>
      <c r="B6" s="5" t="s">
        <v>169</v>
      </c>
      <c r="C6" s="5" t="s">
        <v>55</v>
      </c>
      <c r="D6" s="5" t="s">
        <v>145</v>
      </c>
      <c r="E6" s="5" t="s">
        <v>150</v>
      </c>
      <c r="F6" s="5" t="s">
        <v>172</v>
      </c>
      <c r="G6" s="5" t="s">
        <v>175</v>
      </c>
      <c r="H6" s="5" t="s">
        <v>155</v>
      </c>
      <c r="I6" s="5" t="s">
        <v>55</v>
      </c>
      <c r="J6" s="5" t="s">
        <v>178</v>
      </c>
      <c r="K6" s="5"/>
      <c r="L6" s="5" t="s">
        <v>55</v>
      </c>
      <c r="M6" s="5" t="s">
        <v>183</v>
      </c>
    </row>
    <row r="7">
      <c r="A7" s="3" t="s">
        <v>186</v>
      </c>
      <c r="B7" s="5" t="s">
        <v>187</v>
      </c>
      <c r="C7" s="5" t="s">
        <v>55</v>
      </c>
      <c r="D7" s="5" t="s">
        <v>145</v>
      </c>
      <c r="E7" s="5" t="s">
        <v>150</v>
      </c>
      <c r="F7" s="5" t="s">
        <v>194</v>
      </c>
      <c r="G7" s="5" t="s">
        <v>187</v>
      </c>
      <c r="H7" s="5" t="s">
        <v>197</v>
      </c>
      <c r="I7" s="5" t="s">
        <v>198</v>
      </c>
      <c r="J7" s="5" t="s">
        <v>199</v>
      </c>
      <c r="K7" s="5"/>
      <c r="L7" s="5" t="s">
        <v>55</v>
      </c>
      <c r="M7" s="5" t="s">
        <v>205</v>
      </c>
    </row>
    <row r="8">
      <c r="A8" s="3" t="s">
        <v>207</v>
      </c>
      <c r="B8" s="5" t="s">
        <v>209</v>
      </c>
      <c r="C8" s="5" t="s">
        <v>210</v>
      </c>
      <c r="D8" s="5" t="s">
        <v>57</v>
      </c>
      <c r="E8" s="5" t="s">
        <v>212</v>
      </c>
      <c r="F8" s="5" t="s">
        <v>54</v>
      </c>
      <c r="G8" s="5" t="s">
        <v>215</v>
      </c>
      <c r="H8" s="5" t="s">
        <v>217</v>
      </c>
      <c r="I8" s="5" t="s">
        <v>55</v>
      </c>
      <c r="J8" s="5" t="s">
        <v>55</v>
      </c>
      <c r="K8" s="5"/>
      <c r="L8" s="5" t="s">
        <v>55</v>
      </c>
      <c r="M8" s="5" t="s">
        <v>224</v>
      </c>
    </row>
    <row r="9">
      <c r="A9" s="3" t="s">
        <v>226</v>
      </c>
      <c r="B9" s="5" t="s">
        <v>227</v>
      </c>
      <c r="C9" s="5" t="s">
        <v>55</v>
      </c>
      <c r="D9" s="5" t="s">
        <v>57</v>
      </c>
      <c r="E9" s="5" t="s">
        <v>229</v>
      </c>
      <c r="F9" s="5" t="s">
        <v>55</v>
      </c>
      <c r="G9" s="5" t="s">
        <v>55</v>
      </c>
      <c r="H9" s="5" t="s">
        <v>55</v>
      </c>
      <c r="I9" s="5" t="s">
        <v>55</v>
      </c>
      <c r="J9" s="5" t="s">
        <v>55</v>
      </c>
      <c r="K9" s="5"/>
      <c r="L9" s="5" t="s">
        <v>55</v>
      </c>
      <c r="M9" s="5" t="s">
        <v>238</v>
      </c>
    </row>
    <row r="10">
      <c r="A10" s="3" t="s">
        <v>241</v>
      </c>
      <c r="B10" s="5" t="s">
        <v>243</v>
      </c>
      <c r="C10" s="5" t="s">
        <v>55</v>
      </c>
      <c r="D10" s="5" t="s">
        <v>57</v>
      </c>
      <c r="E10" s="5" t="s">
        <v>254</v>
      </c>
      <c r="F10" s="5" t="s">
        <v>256</v>
      </c>
      <c r="G10" s="5" t="s">
        <v>55</v>
      </c>
      <c r="H10" s="5" t="s">
        <v>55</v>
      </c>
      <c r="I10" s="5" t="s">
        <v>55</v>
      </c>
      <c r="J10" s="5" t="s">
        <v>55</v>
      </c>
      <c r="K10" s="5"/>
      <c r="L10" s="5" t="s">
        <v>55</v>
      </c>
      <c r="M10" s="5" t="s">
        <v>261</v>
      </c>
    </row>
    <row r="11">
      <c r="A11" s="3" t="s">
        <v>263</v>
      </c>
      <c r="B11" s="5" t="s">
        <v>264</v>
      </c>
      <c r="C11" s="5" t="s">
        <v>55</v>
      </c>
      <c r="D11" s="5" t="s">
        <v>57</v>
      </c>
      <c r="E11" s="5" t="s">
        <v>265</v>
      </c>
      <c r="F11" s="5" t="s">
        <v>55</v>
      </c>
      <c r="G11" s="5" t="s">
        <v>266</v>
      </c>
      <c r="H11" s="5" t="s">
        <v>55</v>
      </c>
      <c r="I11" s="5" t="s">
        <v>55</v>
      </c>
      <c r="J11" s="5" t="s">
        <v>55</v>
      </c>
      <c r="K11" s="5"/>
      <c r="L11" s="5" t="s">
        <v>55</v>
      </c>
      <c r="M11" s="5" t="s">
        <v>269</v>
      </c>
    </row>
    <row r="12">
      <c r="A12" s="3" t="s">
        <v>271</v>
      </c>
      <c r="B12" s="5" t="s">
        <v>272</v>
      </c>
      <c r="C12" s="5" t="s">
        <v>55</v>
      </c>
      <c r="D12" s="5" t="s">
        <v>57</v>
      </c>
      <c r="E12" s="5" t="s">
        <v>274</v>
      </c>
      <c r="F12" s="5" t="s">
        <v>275</v>
      </c>
      <c r="G12" s="5" t="s">
        <v>55</v>
      </c>
      <c r="H12" s="5" t="s">
        <v>55</v>
      </c>
      <c r="I12" s="5" t="s">
        <v>55</v>
      </c>
      <c r="J12" s="5" t="s">
        <v>55</v>
      </c>
      <c r="K12" s="5"/>
      <c r="L12" s="5" t="s">
        <v>55</v>
      </c>
      <c r="M12" s="5" t="s">
        <v>279</v>
      </c>
    </row>
    <row r="13">
      <c r="A13" s="3" t="s">
        <v>280</v>
      </c>
      <c r="B13" s="5" t="s">
        <v>281</v>
      </c>
      <c r="C13" s="5" t="s">
        <v>55</v>
      </c>
      <c r="D13" s="5" t="s">
        <v>55</v>
      </c>
      <c r="E13" s="5" t="s">
        <v>282</v>
      </c>
      <c r="F13" s="5" t="s">
        <v>283</v>
      </c>
      <c r="G13" s="5" t="s">
        <v>55</v>
      </c>
      <c r="H13" s="5" t="s">
        <v>55</v>
      </c>
      <c r="I13" s="5" t="s">
        <v>55</v>
      </c>
      <c r="J13" s="5" t="s">
        <v>55</v>
      </c>
      <c r="K13" s="5"/>
      <c r="L13" s="5" t="s">
        <v>55</v>
      </c>
      <c r="M13" s="5" t="s">
        <v>286</v>
      </c>
    </row>
    <row r="14">
      <c r="A14" s="3" t="s">
        <v>288</v>
      </c>
      <c r="B14" s="5" t="s">
        <v>289</v>
      </c>
      <c r="C14" s="5" t="s">
        <v>55</v>
      </c>
      <c r="D14" s="5" t="s">
        <v>55</v>
      </c>
      <c r="E14" s="5" t="s">
        <v>55</v>
      </c>
      <c r="F14" s="5" t="s">
        <v>291</v>
      </c>
      <c r="G14" s="5" t="s">
        <v>55</v>
      </c>
      <c r="H14" s="5" t="s">
        <v>55</v>
      </c>
      <c r="I14" s="5" t="s">
        <v>55</v>
      </c>
      <c r="J14" s="5" t="s">
        <v>55</v>
      </c>
      <c r="K14" s="5"/>
      <c r="L14" s="5" t="s">
        <v>55</v>
      </c>
      <c r="M14" s="5" t="s">
        <v>297</v>
      </c>
    </row>
    <row r="15">
      <c r="A15" s="3" t="s">
        <v>298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>
      <c r="A16" s="3" t="s">
        <v>301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0.0"/>
    <col customWidth="1" min="3" max="4" width="22.0"/>
    <col customWidth="1" min="5" max="5" width="32.0"/>
    <col customWidth="1" min="6" max="6" width="50.0"/>
    <col customWidth="1" min="7" max="7" width="24.0"/>
    <col customWidth="1" min="8" max="8" width="18.0"/>
    <col customWidth="1" min="9" max="10" width="14.0"/>
    <col customWidth="1" min="11" max="11" width="10.0"/>
    <col customWidth="1" min="12" max="12" width="16.0"/>
    <col customWidth="1" min="13" max="13" width="18.0"/>
    <col customWidth="1" min="14" max="15" width="24.0"/>
    <col customWidth="1" min="16" max="16" width="20.0"/>
    <col customWidth="1" min="17" max="17" width="36.0"/>
    <col customWidth="1" min="18" max="26" width="8.71"/>
  </cols>
  <sheetData>
    <row r="1">
      <c r="A1" s="1" t="s">
        <v>2</v>
      </c>
      <c r="B1" s="1" t="s">
        <v>0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16</v>
      </c>
      <c r="H1" s="1" t="s">
        <v>19</v>
      </c>
      <c r="I1" s="1" t="s">
        <v>22</v>
      </c>
      <c r="J1" s="1" t="s">
        <v>23</v>
      </c>
      <c r="K1" s="1" t="s">
        <v>25</v>
      </c>
      <c r="L1" s="1" t="s">
        <v>28</v>
      </c>
      <c r="M1" s="1" t="s">
        <v>30</v>
      </c>
      <c r="N1" s="1" t="s">
        <v>32</v>
      </c>
      <c r="O1" s="1" t="s">
        <v>34</v>
      </c>
      <c r="P1" s="1" t="s">
        <v>35</v>
      </c>
      <c r="Q1" s="1" t="s">
        <v>29</v>
      </c>
    </row>
    <row r="2">
      <c r="A2" s="5" t="s">
        <v>40</v>
      </c>
      <c r="B2" s="5" t="s">
        <v>37</v>
      </c>
      <c r="C2" s="5" t="s">
        <v>47</v>
      </c>
      <c r="D2" s="5" t="s">
        <v>48</v>
      </c>
      <c r="E2" s="5" t="s">
        <v>50</v>
      </c>
      <c r="F2" s="5" t="s">
        <v>52</v>
      </c>
      <c r="G2" s="5" t="s">
        <v>54</v>
      </c>
      <c r="H2" s="5" t="s">
        <v>56</v>
      </c>
      <c r="I2" s="5" t="s">
        <v>55</v>
      </c>
      <c r="J2" s="5" t="s">
        <v>55</v>
      </c>
      <c r="K2" s="5">
        <v>140.0</v>
      </c>
      <c r="L2" s="8">
        <v>292700.0</v>
      </c>
      <c r="M2" s="5" t="s">
        <v>68</v>
      </c>
      <c r="N2" s="5" t="s">
        <v>70</v>
      </c>
      <c r="O2" s="5" t="s">
        <v>73</v>
      </c>
      <c r="P2" s="5" t="s">
        <v>74</v>
      </c>
      <c r="Q2" s="5" t="s">
        <v>77</v>
      </c>
    </row>
    <row r="3">
      <c r="A3" s="5" t="s">
        <v>79</v>
      </c>
      <c r="B3" s="5" t="s">
        <v>37</v>
      </c>
      <c r="C3" s="5" t="s">
        <v>81</v>
      </c>
      <c r="D3" s="5" t="s">
        <v>82</v>
      </c>
      <c r="E3" s="5" t="s">
        <v>85</v>
      </c>
      <c r="F3" s="5" t="s">
        <v>87</v>
      </c>
      <c r="G3" s="5" t="s">
        <v>88</v>
      </c>
      <c r="H3" s="5" t="s">
        <v>90</v>
      </c>
      <c r="I3" s="5" t="s">
        <v>55</v>
      </c>
      <c r="J3" s="5" t="s">
        <v>55</v>
      </c>
      <c r="K3" s="5">
        <v>45.0</v>
      </c>
      <c r="L3" s="8">
        <v>31100.0</v>
      </c>
      <c r="M3" s="5" t="s">
        <v>68</v>
      </c>
      <c r="N3" s="5" t="s">
        <v>94</v>
      </c>
      <c r="O3" s="5" t="s">
        <v>97</v>
      </c>
      <c r="P3" s="5" t="s">
        <v>99</v>
      </c>
      <c r="Q3" s="5" t="s">
        <v>102</v>
      </c>
    </row>
    <row r="4">
      <c r="A4" s="5" t="s">
        <v>103</v>
      </c>
      <c r="B4" s="5" t="s">
        <v>37</v>
      </c>
      <c r="C4" s="5" t="s">
        <v>81</v>
      </c>
      <c r="D4" s="5" t="s">
        <v>107</v>
      </c>
      <c r="E4" s="5" t="s">
        <v>110</v>
      </c>
      <c r="F4" s="5" t="s">
        <v>113</v>
      </c>
      <c r="G4" s="5" t="s">
        <v>88</v>
      </c>
      <c r="H4" s="5" t="s">
        <v>90</v>
      </c>
      <c r="I4" s="5" t="s">
        <v>55</v>
      </c>
      <c r="J4" s="5" t="s">
        <v>55</v>
      </c>
      <c r="K4" s="5">
        <v>30.0</v>
      </c>
      <c r="L4" s="8">
        <v>8240.0</v>
      </c>
      <c r="M4" s="5" t="s">
        <v>68</v>
      </c>
      <c r="N4" s="5"/>
      <c r="O4" s="5" t="s">
        <v>121</v>
      </c>
      <c r="P4" s="5" t="s">
        <v>123</v>
      </c>
      <c r="Q4" s="5" t="s">
        <v>127</v>
      </c>
    </row>
    <row r="5">
      <c r="A5" s="5" t="s">
        <v>129</v>
      </c>
      <c r="B5" s="5" t="s">
        <v>75</v>
      </c>
      <c r="C5" s="5" t="s">
        <v>132</v>
      </c>
      <c r="D5" s="5" t="s">
        <v>133</v>
      </c>
      <c r="E5" s="5" t="s">
        <v>136</v>
      </c>
      <c r="F5" s="5" t="s">
        <v>138</v>
      </c>
      <c r="G5" s="5" t="s">
        <v>86</v>
      </c>
      <c r="H5" s="5" t="s">
        <v>55</v>
      </c>
      <c r="I5" s="5" t="s">
        <v>55</v>
      </c>
      <c r="J5" s="5" t="s">
        <v>55</v>
      </c>
      <c r="K5" s="5" t="s">
        <v>55</v>
      </c>
      <c r="L5" s="8">
        <v>87300.0</v>
      </c>
      <c r="M5" s="5" t="s">
        <v>55</v>
      </c>
      <c r="N5" s="5"/>
      <c r="O5" s="5"/>
      <c r="P5" s="5" t="s">
        <v>147</v>
      </c>
      <c r="Q5" s="5" t="s">
        <v>149</v>
      </c>
    </row>
    <row r="6">
      <c r="A6" s="5" t="s">
        <v>151</v>
      </c>
      <c r="B6" s="5" t="s">
        <v>104</v>
      </c>
      <c r="C6" s="5" t="s">
        <v>158</v>
      </c>
      <c r="D6" s="5" t="s">
        <v>160</v>
      </c>
      <c r="E6" s="5" t="s">
        <v>161</v>
      </c>
      <c r="F6" s="5" t="s">
        <v>164</v>
      </c>
      <c r="G6" s="5" t="s">
        <v>118</v>
      </c>
      <c r="H6" s="5" t="s">
        <v>55</v>
      </c>
      <c r="I6" s="5" t="s">
        <v>55</v>
      </c>
      <c r="J6" s="5" t="s">
        <v>55</v>
      </c>
      <c r="K6" s="5">
        <v>90.0</v>
      </c>
      <c r="L6" s="8">
        <v>185000.0</v>
      </c>
      <c r="M6" s="5" t="s">
        <v>55</v>
      </c>
      <c r="N6" s="5"/>
      <c r="O6" s="5"/>
      <c r="P6" s="5" t="s">
        <v>123</v>
      </c>
      <c r="Q6" s="5" t="s">
        <v>173</v>
      </c>
    </row>
    <row r="7">
      <c r="A7" s="5" t="s">
        <v>46</v>
      </c>
      <c r="B7" s="5" t="s">
        <v>141</v>
      </c>
      <c r="C7" s="5" t="s">
        <v>177</v>
      </c>
      <c r="D7" s="5" t="s">
        <v>179</v>
      </c>
      <c r="E7" s="5" t="s">
        <v>181</v>
      </c>
      <c r="F7" s="5" t="s">
        <v>182</v>
      </c>
      <c r="G7" s="5" t="s">
        <v>153</v>
      </c>
      <c r="H7" s="5" t="s">
        <v>55</v>
      </c>
      <c r="I7" s="5" t="s">
        <v>184</v>
      </c>
      <c r="J7" s="5" t="s">
        <v>55</v>
      </c>
      <c r="K7" s="5">
        <v>60.0</v>
      </c>
      <c r="L7" s="8">
        <v>22500.0</v>
      </c>
      <c r="M7" s="5" t="s">
        <v>152</v>
      </c>
      <c r="N7" s="5" t="s">
        <v>190</v>
      </c>
      <c r="O7" s="5" t="s">
        <v>192</v>
      </c>
      <c r="P7" s="5" t="s">
        <v>123</v>
      </c>
      <c r="Q7" s="5" t="s">
        <v>196</v>
      </c>
    </row>
    <row r="8">
      <c r="A8" s="5" t="s">
        <v>189</v>
      </c>
      <c r="B8" s="5" t="s">
        <v>167</v>
      </c>
      <c r="C8" s="5" t="s">
        <v>169</v>
      </c>
      <c r="D8" s="5" t="s">
        <v>200</v>
      </c>
      <c r="E8" s="5" t="s">
        <v>202</v>
      </c>
      <c r="F8" s="5" t="s">
        <v>204</v>
      </c>
      <c r="G8" s="5" t="s">
        <v>172</v>
      </c>
      <c r="H8" s="5" t="s">
        <v>55</v>
      </c>
      <c r="I8" s="5" t="s">
        <v>206</v>
      </c>
      <c r="J8" s="5" t="s">
        <v>55</v>
      </c>
      <c r="K8" s="5">
        <v>15.0</v>
      </c>
      <c r="L8" s="8">
        <v>10000.0</v>
      </c>
      <c r="M8" s="5" t="s">
        <v>68</v>
      </c>
      <c r="N8" s="5"/>
      <c r="O8" s="5"/>
      <c r="P8" s="5" t="s">
        <v>147</v>
      </c>
      <c r="Q8" s="5" t="s">
        <v>213</v>
      </c>
    </row>
    <row r="9">
      <c r="A9" s="5" t="s">
        <v>214</v>
      </c>
      <c r="B9" s="5" t="s">
        <v>186</v>
      </c>
      <c r="C9" s="5" t="s">
        <v>219</v>
      </c>
      <c r="D9" s="5" t="s">
        <v>220</v>
      </c>
      <c r="E9" s="5" t="s">
        <v>221</v>
      </c>
      <c r="F9" s="5" t="s">
        <v>222</v>
      </c>
      <c r="G9" s="5" t="s">
        <v>194</v>
      </c>
      <c r="H9" s="5" t="s">
        <v>225</v>
      </c>
      <c r="I9" s="5" t="s">
        <v>55</v>
      </c>
      <c r="J9" s="5" t="s">
        <v>55</v>
      </c>
      <c r="K9" s="5">
        <v>150.0</v>
      </c>
      <c r="L9" s="8">
        <v>115500.0</v>
      </c>
      <c r="M9" s="5" t="s">
        <v>68</v>
      </c>
      <c r="N9" s="5" t="s">
        <v>228</v>
      </c>
      <c r="O9" s="5" t="s">
        <v>230</v>
      </c>
      <c r="P9" s="5" t="s">
        <v>123</v>
      </c>
      <c r="Q9" s="5" t="s">
        <v>232</v>
      </c>
    </row>
    <row r="10">
      <c r="A10" s="5" t="s">
        <v>233</v>
      </c>
      <c r="B10" s="5" t="s">
        <v>207</v>
      </c>
      <c r="C10" s="5" t="s">
        <v>234</v>
      </c>
      <c r="D10" s="5" t="s">
        <v>235</v>
      </c>
      <c r="E10" s="5" t="s">
        <v>236</v>
      </c>
      <c r="F10" s="5" t="s">
        <v>237</v>
      </c>
      <c r="G10" s="5" t="s">
        <v>54</v>
      </c>
      <c r="H10" s="5" t="s">
        <v>240</v>
      </c>
      <c r="I10" s="5" t="s">
        <v>242</v>
      </c>
      <c r="J10" s="5" t="s">
        <v>55</v>
      </c>
      <c r="K10" s="5">
        <v>30.0</v>
      </c>
      <c r="L10" s="8">
        <v>6000.0</v>
      </c>
      <c r="M10" s="5" t="s">
        <v>55</v>
      </c>
      <c r="N10" s="5"/>
      <c r="O10" s="5"/>
      <c r="P10" s="5" t="s">
        <v>123</v>
      </c>
      <c r="Q10" s="5" t="s">
        <v>244</v>
      </c>
    </row>
    <row r="11">
      <c r="A11" s="5" t="s">
        <v>245</v>
      </c>
      <c r="B11" s="5" t="s">
        <v>226</v>
      </c>
      <c r="C11" s="5" t="s">
        <v>227</v>
      </c>
      <c r="D11" s="5" t="s">
        <v>247</v>
      </c>
      <c r="E11" s="5" t="s">
        <v>248</v>
      </c>
      <c r="F11" s="5" t="s">
        <v>249</v>
      </c>
      <c r="G11" s="5" t="s">
        <v>55</v>
      </c>
      <c r="H11" s="5" t="s">
        <v>250</v>
      </c>
      <c r="I11" s="5" t="s">
        <v>251</v>
      </c>
      <c r="J11" s="5" t="s">
        <v>252</v>
      </c>
      <c r="K11" s="5">
        <v>30.0</v>
      </c>
      <c r="L11" s="5" t="s">
        <v>55</v>
      </c>
      <c r="M11" s="5" t="s">
        <v>156</v>
      </c>
      <c r="N11" s="5" t="s">
        <v>253</v>
      </c>
      <c r="O11" s="5" t="s">
        <v>255</v>
      </c>
      <c r="P11" s="5" t="s">
        <v>257</v>
      </c>
      <c r="Q11" s="5" t="s">
        <v>258</v>
      </c>
    </row>
    <row r="12">
      <c r="A12" s="5" t="s">
        <v>259</v>
      </c>
      <c r="B12" s="5" t="s">
        <v>241</v>
      </c>
      <c r="C12" s="5" t="s">
        <v>243</v>
      </c>
      <c r="D12" s="5" t="s">
        <v>260</v>
      </c>
      <c r="E12" s="5" t="s">
        <v>261</v>
      </c>
      <c r="F12" s="5" t="s">
        <v>262</v>
      </c>
      <c r="G12" s="5" t="s">
        <v>54</v>
      </c>
      <c r="H12" s="5" t="s">
        <v>240</v>
      </c>
      <c r="I12" s="5" t="s">
        <v>55</v>
      </c>
      <c r="J12" s="5" t="s">
        <v>55</v>
      </c>
      <c r="K12" s="5" t="s">
        <v>55</v>
      </c>
      <c r="L12" s="5" t="s">
        <v>55</v>
      </c>
      <c r="M12" s="5" t="s">
        <v>55</v>
      </c>
      <c r="N12" s="5"/>
      <c r="O12" s="5"/>
      <c r="P12" s="5" t="s">
        <v>147</v>
      </c>
      <c r="Q12" s="5" t="s">
        <v>267</v>
      </c>
    </row>
    <row r="13">
      <c r="A13" s="5" t="s">
        <v>268</v>
      </c>
      <c r="B13" s="5" t="s">
        <v>263</v>
      </c>
      <c r="C13" s="5" t="s">
        <v>264</v>
      </c>
      <c r="D13" s="5" t="s">
        <v>269</v>
      </c>
      <c r="E13" s="5" t="s">
        <v>270</v>
      </c>
      <c r="F13" s="5" t="s">
        <v>55</v>
      </c>
      <c r="G13" s="5" t="s">
        <v>55</v>
      </c>
      <c r="H13" s="5" t="s">
        <v>55</v>
      </c>
      <c r="I13" s="5" t="s">
        <v>273</v>
      </c>
      <c r="J13" s="5" t="s">
        <v>55</v>
      </c>
      <c r="K13" s="5" t="s">
        <v>55</v>
      </c>
      <c r="L13" s="5" t="s">
        <v>55</v>
      </c>
      <c r="M13" s="5" t="s">
        <v>55</v>
      </c>
      <c r="N13" s="5"/>
      <c r="O13" s="5"/>
      <c r="P13" s="5" t="s">
        <v>147</v>
      </c>
      <c r="Q13" s="5" t="s">
        <v>276</v>
      </c>
    </row>
    <row r="14">
      <c r="A14" s="5" t="s">
        <v>277</v>
      </c>
      <c r="B14" s="5" t="s">
        <v>271</v>
      </c>
      <c r="C14" s="5" t="s">
        <v>278</v>
      </c>
      <c r="D14" s="5" t="s">
        <v>279</v>
      </c>
      <c r="E14" s="5" t="s">
        <v>55</v>
      </c>
      <c r="F14" s="5" t="s">
        <v>55</v>
      </c>
      <c r="G14" s="5" t="s">
        <v>55</v>
      </c>
      <c r="H14" s="5" t="s">
        <v>55</v>
      </c>
      <c r="I14" s="5" t="s">
        <v>55</v>
      </c>
      <c r="J14" s="5" t="s">
        <v>55</v>
      </c>
      <c r="K14" s="5" t="s">
        <v>55</v>
      </c>
      <c r="L14" s="5" t="s">
        <v>55</v>
      </c>
      <c r="M14" s="5" t="s">
        <v>55</v>
      </c>
      <c r="N14" s="5"/>
      <c r="O14" s="5"/>
      <c r="P14" s="5" t="s">
        <v>147</v>
      </c>
      <c r="Q14" s="5" t="s">
        <v>267</v>
      </c>
    </row>
    <row r="15">
      <c r="A15" s="5" t="s">
        <v>284</v>
      </c>
      <c r="B15" s="5" t="s">
        <v>280</v>
      </c>
      <c r="C15" s="5" t="s">
        <v>285</v>
      </c>
      <c r="D15" s="5" t="s">
        <v>286</v>
      </c>
      <c r="E15" s="5" t="s">
        <v>55</v>
      </c>
      <c r="F15" s="5" t="s">
        <v>55</v>
      </c>
      <c r="G15" s="5" t="s">
        <v>287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/>
      <c r="O15" s="5"/>
      <c r="P15" s="5" t="s">
        <v>147</v>
      </c>
      <c r="Q15" s="5" t="s">
        <v>267</v>
      </c>
    </row>
    <row r="16">
      <c r="A16" s="5" t="s">
        <v>290</v>
      </c>
      <c r="B16" s="5" t="s">
        <v>288</v>
      </c>
      <c r="C16" s="5" t="s">
        <v>292</v>
      </c>
      <c r="D16" s="5" t="s">
        <v>293</v>
      </c>
      <c r="E16" s="5" t="s">
        <v>294</v>
      </c>
      <c r="F16" s="5" t="s">
        <v>55</v>
      </c>
      <c r="G16" s="5" t="s">
        <v>295</v>
      </c>
      <c r="H16" s="5" t="s">
        <v>296</v>
      </c>
      <c r="I16" s="5" t="s">
        <v>273</v>
      </c>
      <c r="J16" s="5" t="s">
        <v>55</v>
      </c>
      <c r="K16" s="5" t="s">
        <v>55</v>
      </c>
      <c r="L16" s="5" t="s">
        <v>55</v>
      </c>
      <c r="M16" s="5" t="s">
        <v>55</v>
      </c>
      <c r="N16" s="5"/>
      <c r="O16" s="5"/>
      <c r="P16" s="5" t="s">
        <v>257</v>
      </c>
      <c r="Q16" s="5" t="s">
        <v>299</v>
      </c>
    </row>
    <row r="17">
      <c r="A17" s="5" t="s">
        <v>300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5" t="s">
        <v>302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5" t="s">
        <v>303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5" t="s">
        <v>304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5" t="s">
        <v>305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8.0"/>
    <col customWidth="1" min="4" max="4" width="24.0"/>
    <col customWidth="1" min="5" max="5" width="10.0"/>
    <col customWidth="1" min="6" max="6" width="16.0"/>
    <col customWidth="1" min="7" max="7" width="42.0"/>
    <col customWidth="1" min="8" max="8" width="14.0"/>
    <col customWidth="1" min="9" max="9" width="16.0"/>
    <col customWidth="1" min="10" max="10" width="14.0"/>
    <col customWidth="1" min="11" max="12" width="16.0"/>
    <col customWidth="1" min="13" max="13" width="18.0"/>
    <col customWidth="1" min="14" max="14" width="36.0"/>
    <col customWidth="1" min="15" max="26" width="8.71"/>
  </cols>
  <sheetData>
    <row r="1">
      <c r="A1" s="1" t="s">
        <v>1</v>
      </c>
      <c r="B1" s="1" t="s">
        <v>2</v>
      </c>
      <c r="C1" s="1" t="s">
        <v>17</v>
      </c>
      <c r="D1" s="1" t="s">
        <v>20</v>
      </c>
      <c r="E1" s="1" t="s">
        <v>24</v>
      </c>
      <c r="F1" s="1" t="s">
        <v>27</v>
      </c>
      <c r="G1" s="1" t="s">
        <v>31</v>
      </c>
      <c r="H1" s="1" t="s">
        <v>33</v>
      </c>
      <c r="I1" s="1" t="s">
        <v>36</v>
      </c>
      <c r="J1" s="1" t="s">
        <v>38</v>
      </c>
      <c r="K1" s="1" t="s">
        <v>39</v>
      </c>
      <c r="L1" s="1" t="s">
        <v>41</v>
      </c>
      <c r="M1" s="1" t="s">
        <v>42</v>
      </c>
      <c r="N1" s="1" t="s">
        <v>29</v>
      </c>
    </row>
    <row r="2">
      <c r="A2" s="5" t="s">
        <v>45</v>
      </c>
      <c r="B2" s="5" t="s">
        <v>46</v>
      </c>
      <c r="C2" s="5" t="s">
        <v>49</v>
      </c>
      <c r="D2" s="5" t="s">
        <v>51</v>
      </c>
      <c r="E2" s="7">
        <v>0.45</v>
      </c>
      <c r="F2" s="8">
        <v>10125.0</v>
      </c>
      <c r="G2" s="5" t="s">
        <v>71</v>
      </c>
      <c r="H2" s="5" t="s">
        <v>55</v>
      </c>
      <c r="I2" s="5" t="s">
        <v>55</v>
      </c>
      <c r="J2" s="5" t="s">
        <v>55</v>
      </c>
      <c r="K2" s="5" t="s">
        <v>55</v>
      </c>
      <c r="L2" s="5" t="s">
        <v>55</v>
      </c>
      <c r="M2" s="5" t="s">
        <v>55</v>
      </c>
      <c r="N2" s="5" t="s">
        <v>89</v>
      </c>
    </row>
    <row r="3">
      <c r="A3" s="5" t="s">
        <v>92</v>
      </c>
      <c r="B3" s="5" t="s">
        <v>46</v>
      </c>
      <c r="C3" s="5" t="s">
        <v>49</v>
      </c>
      <c r="D3" s="5" t="s">
        <v>95</v>
      </c>
      <c r="E3" s="7">
        <v>0.3</v>
      </c>
      <c r="F3" s="8">
        <v>6750.0</v>
      </c>
      <c r="G3" s="5" t="s">
        <v>98</v>
      </c>
      <c r="H3" s="5"/>
      <c r="I3" s="5"/>
      <c r="J3" s="5"/>
      <c r="K3" s="5"/>
      <c r="L3" s="5"/>
      <c r="M3" s="5"/>
      <c r="N3" s="5"/>
    </row>
    <row r="4">
      <c r="A4" s="5" t="s">
        <v>112</v>
      </c>
      <c r="B4" s="5" t="s">
        <v>46</v>
      </c>
      <c r="C4" s="5" t="s">
        <v>49</v>
      </c>
      <c r="D4" s="5" t="s">
        <v>117</v>
      </c>
      <c r="E4" s="7">
        <v>0.25</v>
      </c>
      <c r="F4" s="8">
        <v>5625.0</v>
      </c>
      <c r="G4" s="5" t="s">
        <v>122</v>
      </c>
      <c r="H4" s="5"/>
      <c r="I4" s="5"/>
      <c r="J4" s="5"/>
      <c r="K4" s="5"/>
      <c r="L4" s="5"/>
      <c r="M4" s="5"/>
      <c r="N4" s="5"/>
    </row>
    <row r="5">
      <c r="A5" s="5" t="s">
        <v>131</v>
      </c>
      <c r="B5" s="5" t="s">
        <v>103</v>
      </c>
      <c r="C5" s="5" t="s">
        <v>137</v>
      </c>
      <c r="D5" s="5" t="s">
        <v>139</v>
      </c>
      <c r="E5" s="7">
        <v>1.0</v>
      </c>
      <c r="F5" s="8">
        <v>8240.0</v>
      </c>
      <c r="G5" s="5" t="s">
        <v>180</v>
      </c>
      <c r="H5" s="5"/>
      <c r="I5" s="5"/>
      <c r="J5" s="5"/>
      <c r="K5" s="5"/>
      <c r="L5" s="5"/>
      <c r="M5" s="5"/>
      <c r="N5" s="5" t="s">
        <v>185</v>
      </c>
    </row>
    <row r="6">
      <c r="A6" s="5" t="s">
        <v>188</v>
      </c>
      <c r="B6" s="5" t="s">
        <v>189</v>
      </c>
      <c r="C6" s="5" t="s">
        <v>191</v>
      </c>
      <c r="D6" s="5" t="s">
        <v>193</v>
      </c>
      <c r="E6" s="7">
        <v>1.0</v>
      </c>
      <c r="F6" s="8">
        <v>4000.0</v>
      </c>
      <c r="G6" s="5" t="s">
        <v>195</v>
      </c>
      <c r="H6" s="5"/>
      <c r="I6" s="5"/>
      <c r="J6" s="5"/>
      <c r="K6" s="5"/>
      <c r="L6" s="5"/>
      <c r="M6" s="5"/>
      <c r="N6" s="5" t="s">
        <v>201</v>
      </c>
    </row>
    <row r="7">
      <c r="A7" s="5" t="s">
        <v>203</v>
      </c>
      <c r="B7" s="5" t="s">
        <v>189</v>
      </c>
      <c r="C7" s="5" t="s">
        <v>191</v>
      </c>
      <c r="D7" s="5" t="s">
        <v>208</v>
      </c>
      <c r="E7" s="7">
        <v>0.5</v>
      </c>
      <c r="F7" s="8">
        <v>3000.0</v>
      </c>
      <c r="G7" s="5" t="s">
        <v>211</v>
      </c>
      <c r="H7" s="5"/>
      <c r="I7" s="5"/>
      <c r="J7" s="5"/>
      <c r="K7" s="5"/>
      <c r="L7" s="5"/>
      <c r="M7" s="5"/>
      <c r="N7" s="5" t="s">
        <v>216</v>
      </c>
    </row>
    <row r="8">
      <c r="A8" s="5" t="s">
        <v>218</v>
      </c>
      <c r="B8" s="5" t="s">
        <v>189</v>
      </c>
      <c r="C8" s="5" t="s">
        <v>191</v>
      </c>
      <c r="D8" s="5" t="s">
        <v>223</v>
      </c>
      <c r="E8" s="7">
        <v>0.5</v>
      </c>
      <c r="F8" s="8">
        <v>3000.0</v>
      </c>
      <c r="G8" s="5" t="s">
        <v>192</v>
      </c>
      <c r="H8" s="5"/>
      <c r="I8" s="5"/>
      <c r="J8" s="5"/>
      <c r="K8" s="5"/>
      <c r="L8" s="5"/>
      <c r="M8" s="5"/>
      <c r="N8" s="5" t="s">
        <v>216</v>
      </c>
    </row>
    <row r="9">
      <c r="A9" s="5" t="s">
        <v>231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 t="s">
        <v>239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 t="s">
        <v>246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24.0"/>
    <col customWidth="1" min="5" max="5" width="10.0"/>
    <col customWidth="1" min="6" max="6" width="20.0"/>
    <col customWidth="1" min="7" max="8" width="30.0"/>
    <col customWidth="1" min="9" max="9" width="36.0"/>
    <col customWidth="1" min="10" max="10" width="60.0"/>
    <col customWidth="1" min="11" max="11" width="24.0"/>
    <col customWidth="1" min="12" max="12" width="30.0"/>
    <col customWidth="1" min="13" max="13" width="22.0"/>
    <col customWidth="1" min="14" max="26" width="8.71"/>
  </cols>
  <sheetData>
    <row r="1">
      <c r="A1" s="1" t="s">
        <v>306</v>
      </c>
      <c r="B1" s="1" t="s">
        <v>307</v>
      </c>
      <c r="C1" s="1" t="s">
        <v>0</v>
      </c>
      <c r="D1" s="1" t="s">
        <v>7</v>
      </c>
      <c r="E1" s="1" t="s">
        <v>2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60.0"/>
    <col customWidth="1" min="3" max="3" width="20.0"/>
    <col customWidth="1" min="4" max="4" width="42.0"/>
    <col customWidth="1" min="5" max="26" width="8.71"/>
  </cols>
  <sheetData>
    <row r="1">
      <c r="A1" s="2" t="s">
        <v>316</v>
      </c>
    </row>
    <row r="2">
      <c r="A2" s="4"/>
      <c r="B2" s="4"/>
      <c r="C2" s="4"/>
      <c r="D2" s="4"/>
    </row>
    <row r="3">
      <c r="A3" s="9" t="s">
        <v>317</v>
      </c>
      <c r="B3" s="9" t="s">
        <v>318</v>
      </c>
      <c r="C3" s="9" t="s">
        <v>319</v>
      </c>
      <c r="D3" s="9" t="s">
        <v>320</v>
      </c>
    </row>
    <row r="4">
      <c r="A4" s="4" t="s">
        <v>321</v>
      </c>
      <c r="B4" s="4" t="str">
        <f>CONTA.VALORES(Clientes!B2:B100)-1</f>
        <v>#NAME?</v>
      </c>
      <c r="C4" s="4"/>
      <c r="D4" s="4" t="s">
        <v>322</v>
      </c>
    </row>
    <row r="5">
      <c r="A5" s="4" t="s">
        <v>323</v>
      </c>
      <c r="B5" s="4" t="str">
        <f>CONTA.VALORES(Projetos!A2:A200)-1</f>
        <v>#NAME?</v>
      </c>
      <c r="C5" s="4"/>
      <c r="D5" s="4"/>
    </row>
    <row r="6">
      <c r="A6" s="4" t="s">
        <v>324</v>
      </c>
      <c r="B6" s="4" t="str">
        <f>CONT.SE(Projetos!M2:M200,"Em execução")+CONT.SE(Projetos!M2:M200,"Em órgão (DECEA/ANAC)")+CONT.SE(Projetos!M2:M200,"Contratado")</f>
        <v>#NAME?</v>
      </c>
      <c r="C6" s="4"/>
      <c r="D6" s="4"/>
    </row>
    <row r="7">
      <c r="A7" s="4" t="s">
        <v>325</v>
      </c>
      <c r="B7" s="4" t="str">
        <f>CONT.SE(Projetos!M2:M200,"Concluído")</f>
        <v>#NAME?</v>
      </c>
      <c r="C7" s="4"/>
      <c r="D7" s="4"/>
    </row>
    <row r="8">
      <c r="A8" s="4" t="s">
        <v>326</v>
      </c>
      <c r="B8" s="4" t="str">
        <f>CONT.SE(Projetos!M2:M200,"Proposta enviada")</f>
        <v>#NAME?</v>
      </c>
      <c r="C8" s="4"/>
      <c r="D8" s="4"/>
    </row>
    <row r="9">
      <c r="A9" s="4" t="s">
        <v>327</v>
      </c>
      <c r="B9" s="4" t="str">
        <f>SOMASE(Projetos!M2:M200,"&lt;&gt;Cancelado",Projetos!L2:L200)</f>
        <v>#NAME?</v>
      </c>
      <c r="C9" s="4"/>
      <c r="D9" s="4" t="s">
        <v>328</v>
      </c>
    </row>
    <row r="10">
      <c r="A10" s="4" t="s">
        <v>329</v>
      </c>
      <c r="B10" s="4" t="str">
        <f>SOMASE(Financeiro!M2:M500,"Pago",Financeiro!F2:F500)</f>
        <v>#NAME?</v>
      </c>
      <c r="C10" s="4"/>
      <c r="D10" s="4"/>
    </row>
    <row r="11">
      <c r="A11" s="4" t="s">
        <v>330</v>
      </c>
      <c r="B11" s="4" t="str">
        <f>SOMASE(Financeiro!M2:M500,"&lt;&gt;Pago",Financeiro!F2:F500)</f>
        <v>#NAME?</v>
      </c>
      <c r="C11" s="4"/>
      <c r="D11" s="4"/>
    </row>
    <row r="12">
      <c r="A12" s="4"/>
      <c r="B12" s="4"/>
      <c r="C12" s="4"/>
      <c r="D12" s="4"/>
    </row>
    <row r="13">
      <c r="A13" s="4" t="s">
        <v>331</v>
      </c>
      <c r="B13" s="4"/>
      <c r="C13" s="4"/>
      <c r="D13" s="4"/>
    </row>
    <row r="14">
      <c r="A14" s="4" t="s">
        <v>332</v>
      </c>
      <c r="B14" s="4"/>
      <c r="C14" s="4"/>
      <c r="D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